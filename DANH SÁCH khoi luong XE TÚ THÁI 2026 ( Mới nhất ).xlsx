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DANH SÁCH XE " sheetId="15" r:id="rId1"/>
  </sheets>
  <definedNames>
    <definedName name="_xlnm._FilterDatabase" localSheetId="0" hidden="1">'DANH SÁCH XE '!$A$2:$J$82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<sst xmlns="http://schemas.openxmlformats.org/spreadsheetml/2006/main" count="249" uniqueCount="235">
  <si>
    <t>TỔNG HỢP ĐỘI XE TÚ THÁI</t>
  </si>
  <si>
    <t>STT</t>
  </si>
  <si>
    <t>HỌ VÀ TÊN</t>
  </si>
  <si>
    <t xml:space="preserve">BSX CŨ </t>
  </si>
  <si>
    <t>BSX MỚI</t>
  </si>
  <si>
    <t>BÌ ĐK</t>
  </si>
  <si>
    <t>BÌ ĐK+100</t>
  </si>
  <si>
    <t>CCCP</t>
  </si>
  <si>
    <t>CCCP+8%</t>
  </si>
  <si>
    <t>TẢI 8%</t>
  </si>
  <si>
    <t>Nguyễn Minh Thịnh</t>
  </si>
  <si>
    <t>00307</t>
  </si>
  <si>
    <t>73H-04440</t>
  </si>
  <si>
    <t xml:space="preserve">Nguyễn Văn Luật </t>
  </si>
  <si>
    <t>10958</t>
  </si>
  <si>
    <t>73H-04437</t>
  </si>
  <si>
    <t>Trần Anh Phi</t>
  </si>
  <si>
    <t>11846</t>
  </si>
  <si>
    <t>74H-01951</t>
  </si>
  <si>
    <t xml:space="preserve">Nguyễn Văn Hợi </t>
  </si>
  <si>
    <t>13749</t>
  </si>
  <si>
    <t>73H-04432</t>
  </si>
  <si>
    <t>Lê Đức Trường</t>
  </si>
  <si>
    <t>27172</t>
  </si>
  <si>
    <t>73H-04443</t>
  </si>
  <si>
    <t>Lê Đức Dũng</t>
  </si>
  <si>
    <t>27188</t>
  </si>
  <si>
    <t>73H-04452</t>
  </si>
  <si>
    <t>Nguyễn Thành Đạt</t>
  </si>
  <si>
    <t>08869</t>
  </si>
  <si>
    <t>73H-04456</t>
  </si>
  <si>
    <t>14074</t>
  </si>
  <si>
    <t>74H-01931</t>
  </si>
  <si>
    <t>Lê Đức Văn</t>
  </si>
  <si>
    <t>13715</t>
  </si>
  <si>
    <t>74H-01956</t>
  </si>
  <si>
    <t>Nguyễn Văn Tuấn</t>
  </si>
  <si>
    <t>14071</t>
  </si>
  <si>
    <t>74H-01955</t>
  </si>
  <si>
    <t>Lê Văn Vượng</t>
  </si>
  <si>
    <t>07935</t>
  </si>
  <si>
    <t>74H-01936</t>
  </si>
  <si>
    <t>Trần Trung Thành</t>
  </si>
  <si>
    <t>09359</t>
  </si>
  <si>
    <t>73H-04448</t>
  </si>
  <si>
    <t>Đinh Văn Nam</t>
  </si>
  <si>
    <t>09776</t>
  </si>
  <si>
    <t>73H-04445</t>
  </si>
  <si>
    <t>Bạch Văn Đông</t>
  </si>
  <si>
    <t>09831</t>
  </si>
  <si>
    <t>73H-04442</t>
  </si>
  <si>
    <t>Phan Văn Thành</t>
  </si>
  <si>
    <t>09983</t>
  </si>
  <si>
    <t>73H-04455</t>
  </si>
  <si>
    <t>Lê Hữu Thản</t>
  </si>
  <si>
    <t>10037</t>
  </si>
  <si>
    <t>74H-01952</t>
  </si>
  <si>
    <t>Nguyễn Minh Đức</t>
  </si>
  <si>
    <t>10317</t>
  </si>
  <si>
    <t>73H-04453</t>
  </si>
  <si>
    <t>Nguyễn Văn Khương</t>
  </si>
  <si>
    <t>10340</t>
  </si>
  <si>
    <t>73H-04458</t>
  </si>
  <si>
    <t>Nguyễn Văn Diệu</t>
  </si>
  <si>
    <t>10342</t>
  </si>
  <si>
    <t>74H-01959</t>
  </si>
  <si>
    <t>Lê Đình Hùng</t>
  </si>
  <si>
    <t>10547</t>
  </si>
  <si>
    <t>74H-01958</t>
  </si>
  <si>
    <t>Nguyễn Văn Tiến</t>
  </si>
  <si>
    <t>10702</t>
  </si>
  <si>
    <t>73H-04441</t>
  </si>
  <si>
    <t>Nguyễn Đình Tùng</t>
  </si>
  <si>
    <t>10960</t>
  </si>
  <si>
    <t>73H-04449</t>
  </si>
  <si>
    <t>Trần Thanh Tâm</t>
  </si>
  <si>
    <t>11307</t>
  </si>
  <si>
    <t>73H-04450</t>
  </si>
  <si>
    <t>Trần Hữu Sỹ</t>
  </si>
  <si>
    <t>11320</t>
  </si>
  <si>
    <t>73H-04459</t>
  </si>
  <si>
    <t>Lê Thị Thu Hoài</t>
  </si>
  <si>
    <t>11803</t>
  </si>
  <si>
    <t>74H-01930</t>
  </si>
  <si>
    <t>11825</t>
  </si>
  <si>
    <t>73H-04457</t>
  </si>
  <si>
    <t xml:space="preserve">Lê Văn Hạnh </t>
  </si>
  <si>
    <t>11833</t>
  </si>
  <si>
    <t>73H-04447</t>
  </si>
  <si>
    <t>Trần Hữu Tuấn</t>
  </si>
  <si>
    <t>11914</t>
  </si>
  <si>
    <t>73H-04446</t>
  </si>
  <si>
    <t>12355</t>
  </si>
  <si>
    <t>74H-01937</t>
  </si>
  <si>
    <t>Lê Đức Biên</t>
  </si>
  <si>
    <t>11946</t>
  </si>
  <si>
    <t>73H-04430</t>
  </si>
  <si>
    <t>Lê Anh Dũng</t>
  </si>
  <si>
    <t>12596</t>
  </si>
  <si>
    <t>73H-04454</t>
  </si>
  <si>
    <t>Nguyễn Văn Việt</t>
  </si>
  <si>
    <t>11947</t>
  </si>
  <si>
    <t>73H-04433</t>
  </si>
  <si>
    <t>Nguyễn Đình Anh</t>
  </si>
  <si>
    <t>12378</t>
  </si>
  <si>
    <t>73H-04431</t>
  </si>
  <si>
    <t>Nguyễn Xuân Thao</t>
  </si>
  <si>
    <t>13745</t>
  </si>
  <si>
    <t>73H-04451</t>
  </si>
  <si>
    <t>Trần Bảo Nguyên</t>
  </si>
  <si>
    <t>13712</t>
  </si>
  <si>
    <t>73H-04434</t>
  </si>
  <si>
    <t>Nguyễn Sư Hướng</t>
  </si>
  <si>
    <t>13732</t>
  </si>
  <si>
    <t>74H-02178</t>
  </si>
  <si>
    <t>Lê Phước Quân</t>
  </si>
  <si>
    <t>06368</t>
  </si>
  <si>
    <t>74H-02207</t>
  </si>
  <si>
    <t>Lê Hữu Phương</t>
  </si>
  <si>
    <t>09292</t>
  </si>
  <si>
    <t>74H-02218</t>
  </si>
  <si>
    <t>Nguyễn Văn Hảo</t>
  </si>
  <si>
    <t>27168</t>
  </si>
  <si>
    <t>74H-02161</t>
  </si>
  <si>
    <t>Nguyễn Văn Hinh</t>
  </si>
  <si>
    <t>13701</t>
  </si>
  <si>
    <t>74H-02230</t>
  </si>
  <si>
    <t>09309</t>
  </si>
  <si>
    <t>74C-09309</t>
  </si>
  <si>
    <t>Ngô Thế Tú</t>
  </si>
  <si>
    <t>00694</t>
  </si>
  <si>
    <t>74H-02234</t>
  </si>
  <si>
    <t>Ngô Thế Châu</t>
  </si>
  <si>
    <t>01247</t>
  </si>
  <si>
    <t>74H-02215</t>
  </si>
  <si>
    <t>Trần Văn Việt</t>
  </si>
  <si>
    <t>09978</t>
  </si>
  <si>
    <t>74H-02240</t>
  </si>
  <si>
    <t>Thái Hoài Nam</t>
  </si>
  <si>
    <t>14017</t>
  </si>
  <si>
    <t>74H-02204</t>
  </si>
  <si>
    <t>Tô Ngọc Tuyến</t>
  </si>
  <si>
    <t>09968</t>
  </si>
  <si>
    <t>74H-02235</t>
  </si>
  <si>
    <t>Hoàng Minh Định</t>
  </si>
  <si>
    <t>10234</t>
  </si>
  <si>
    <t>74H-02170</t>
  </si>
  <si>
    <t>02179</t>
  </si>
  <si>
    <t>Nguyễn Hữu Long</t>
  </si>
  <si>
    <t>10963</t>
  </si>
  <si>
    <t>74H-02185</t>
  </si>
  <si>
    <t>Hồ Sỹ Việt</t>
  </si>
  <si>
    <t>11837</t>
  </si>
  <si>
    <t>74H-02211</t>
  </si>
  <si>
    <t>08856</t>
  </si>
  <si>
    <t>74H-02195</t>
  </si>
  <si>
    <t>Thái Văn Giang</t>
  </si>
  <si>
    <t>10253</t>
  </si>
  <si>
    <t>74H-02182</t>
  </si>
  <si>
    <t>Nguyễn Văn Doanh</t>
  </si>
  <si>
    <t>11814</t>
  </si>
  <si>
    <t>74H-02184</t>
  </si>
  <si>
    <t>06191</t>
  </si>
  <si>
    <t>74H-02227</t>
  </si>
  <si>
    <t>Trần Long Biên</t>
  </si>
  <si>
    <t>19304</t>
  </si>
  <si>
    <t>74H-02249</t>
  </si>
  <si>
    <t>Trần Văn Phương</t>
  </si>
  <si>
    <t>08645</t>
  </si>
  <si>
    <t>74H-02173</t>
  </si>
  <si>
    <t>00164</t>
  </si>
  <si>
    <t>74H-00164</t>
  </si>
  <si>
    <t>Trần Công Tình</t>
  </si>
  <si>
    <t>10538</t>
  </si>
  <si>
    <t>74H-02192</t>
  </si>
  <si>
    <t>Trần văn Minh</t>
  </si>
  <si>
    <t>10787</t>
  </si>
  <si>
    <t>74H-02245</t>
  </si>
  <si>
    <t>Bạch Văn Giang</t>
  </si>
  <si>
    <t>00515</t>
  </si>
  <si>
    <t>74H-00515</t>
  </si>
  <si>
    <t>Võ Thị Nhàn</t>
  </si>
  <si>
    <t>74H-02175</t>
  </si>
  <si>
    <t xml:space="preserve">Ngô Thế Tuấn </t>
  </si>
  <si>
    <t>04971</t>
  </si>
  <si>
    <t>74H-02187</t>
  </si>
  <si>
    <t>Trần Văn Thắng</t>
  </si>
  <si>
    <t>01569</t>
  </si>
  <si>
    <t>74H-02213</t>
  </si>
  <si>
    <t>Đặng Quang Hiếu</t>
  </si>
  <si>
    <t>06628</t>
  </si>
  <si>
    <t>74H-02209</t>
  </si>
  <si>
    <t>Trần Bá Công</t>
  </si>
  <si>
    <t>09007</t>
  </si>
  <si>
    <t>74H-02206</t>
  </si>
  <si>
    <t xml:space="preserve">Nguyễn Văn Việt </t>
  </si>
  <si>
    <t>10211</t>
  </si>
  <si>
    <t>74H-02174</t>
  </si>
  <si>
    <t>Trần Đức Vỹ</t>
  </si>
  <si>
    <t>09293</t>
  </si>
  <si>
    <t>74H-02180</t>
  </si>
  <si>
    <t>Nguyễn Hữu Cảnh</t>
  </si>
  <si>
    <t>10626</t>
  </si>
  <si>
    <t>74H-02163</t>
  </si>
  <si>
    <t>Ngô Thế Tuấn</t>
  </si>
  <si>
    <t>11497</t>
  </si>
  <si>
    <t>74H-02191</t>
  </si>
  <si>
    <t>Phạm Công Biên</t>
  </si>
  <si>
    <t>11309</t>
  </si>
  <si>
    <t>74H-02239</t>
  </si>
  <si>
    <t>Trần Văn Đồng</t>
  </si>
  <si>
    <t>10354</t>
  </si>
  <si>
    <t>74 H-02177</t>
  </si>
  <si>
    <t>10859</t>
  </si>
  <si>
    <t>74H-02162</t>
  </si>
  <si>
    <t>Nguyễn Trọng Ngọc</t>
  </si>
  <si>
    <t>11332</t>
  </si>
  <si>
    <t>74H-02224</t>
  </si>
  <si>
    <t>Trần Văn Lâm</t>
  </si>
  <si>
    <t>11844</t>
  </si>
  <si>
    <t>12507</t>
  </si>
  <si>
    <t>74H-02244</t>
  </si>
  <si>
    <t xml:space="preserve">Trần Mai Tuấn </t>
  </si>
  <si>
    <t>09538</t>
  </si>
  <si>
    <t>02199</t>
  </si>
  <si>
    <t>Lê Quang Bốn</t>
  </si>
  <si>
    <t>28113</t>
  </si>
  <si>
    <t>02168</t>
  </si>
  <si>
    <t>02236</t>
  </si>
  <si>
    <t>Hoàng Minh Thọ</t>
  </si>
  <si>
    <t>28112</t>
  </si>
  <si>
    <t>02189</t>
  </si>
  <si>
    <t>Nguyên Văn Thuân</t>
  </si>
  <si>
    <t>28070</t>
  </si>
  <si>
    <t>02241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</si>
</sst>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35">
    <font>
      <sz val="11"/>
      <color theme="1"/>
      <name val="Calibri"/>
      <charset val="134"/>
      <scheme val="minor"/>
    </font>
    <font>
      <sz val="12"/>
      <color rgb="FFFF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2"/>
      <name val="Times New Roman"/>
      <charset val="134"/>
    </font>
    <font>
      <sz val="13"/>
      <color rgb="FFFF0000"/>
      <name val="Times New Roman"/>
      <charset val="134"/>
    </font>
    <font>
      <b/>
      <sz val="12"/>
      <color rgb="FFFF0000"/>
      <name val="Times New Roman"/>
      <charset val="134"/>
    </font>
    <font>
      <sz val="14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8" fontId="4" fillId="0" borderId="0" xfId="1" applyNumberFormat="1" applyFont="1"/>
    <xf numFmtId="178" fontId="6" fillId="0" borderId="0" xfId="1" applyNumberFormat="1" applyFont="1"/>
    <xf numFmtId="178" fontId="5" fillId="0" borderId="0" xfId="1" applyNumberFormat="1" applyFont="1"/>
    <xf numFmtId="176" fontId="4" fillId="0" borderId="0" xfId="1" applyFont="1"/>
    <xf numFmtId="0" fontId="7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178" fontId="9" fillId="0" borderId="2" xfId="1" applyNumberFormat="1" applyFont="1" applyFill="1" applyBorder="1" applyAlignment="1">
      <alignment horizontal="center" vertical="center"/>
    </xf>
    <xf numFmtId="9" fontId="9" fillId="0" borderId="2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178" fontId="2" fillId="0" borderId="2" xfId="1" applyNumberFormat="1" applyFont="1" applyFill="1" applyBorder="1"/>
    <xf numFmtId="178" fontId="8" fillId="0" borderId="2" xfId="1" applyNumberFormat="1" applyFont="1" applyFill="1" applyBorder="1"/>
    <xf numFmtId="176" fontId="2" fillId="0" borderId="2" xfId="1" applyFont="1" applyFill="1" applyBorder="1"/>
    <xf numFmtId="176" fontId="8" fillId="0" borderId="2" xfId="1" applyFont="1" applyFill="1" applyBorder="1"/>
    <xf numFmtId="49" fontId="10" fillId="0" borderId="2" xfId="0" applyNumberFormat="1" applyFont="1" applyBorder="1" applyAlignment="1">
      <alignment horizontal="center"/>
    </xf>
    <xf numFmtId="178" fontId="2" fillId="0" borderId="0" xfId="0" applyNumberFormat="1" applyFont="1"/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/>
    </xf>
    <xf numFmtId="178" fontId="3" fillId="0" borderId="2" xfId="1" applyNumberFormat="1" applyFont="1" applyFill="1" applyBorder="1"/>
    <xf numFmtId="178" fontId="12" fillId="0" borderId="2" xfId="1" applyNumberFormat="1" applyFont="1" applyFill="1" applyBorder="1"/>
    <xf numFmtId="176" fontId="3" fillId="0" borderId="2" xfId="1" applyFont="1" applyFill="1" applyBorder="1"/>
    <xf numFmtId="176" fontId="12" fillId="0" borderId="2" xfId="1" applyFont="1" applyFill="1" applyBorder="1"/>
    <xf numFmtId="49" fontId="13" fillId="0" borderId="2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center" vertical="center"/>
    </xf>
    <xf numFmtId="178" fontId="1" fillId="0" borderId="2" xfId="1" applyNumberFormat="1" applyFont="1" applyFill="1" applyBorder="1"/>
    <xf numFmtId="178" fontId="14" fillId="0" borderId="2" xfId="1" applyNumberFormat="1" applyFont="1" applyFill="1" applyBorder="1"/>
    <xf numFmtId="176" fontId="1" fillId="0" borderId="2" xfId="1" applyFont="1" applyFill="1" applyBorder="1"/>
    <xf numFmtId="176" fontId="14" fillId="0" borderId="2" xfId="1" applyFont="1" applyFill="1" applyBorder="1"/>
    <xf numFmtId="49" fontId="13" fillId="2" borderId="2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/>
    </xf>
    <xf numFmtId="49" fontId="13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49" fontId="13" fillId="2" borderId="3" xfId="0" applyNumberFormat="1" applyFont="1" applyFill="1" applyBorder="1" applyAlignment="1">
      <alignment horizontal="left"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/>
    </xf>
    <xf numFmtId="178" fontId="2" fillId="0" borderId="3" xfId="1" applyNumberFormat="1" applyFont="1" applyFill="1" applyBorder="1"/>
    <xf numFmtId="176" fontId="8" fillId="0" borderId="3" xfId="1" applyFont="1" applyFill="1" applyBorder="1"/>
    <xf numFmtId="49" fontId="15" fillId="2" borderId="2" xfId="0" applyNumberFormat="1" applyFont="1" applyFill="1" applyBorder="1" applyAlignment="1">
      <alignment horizontal="center" vertical="center" shrinkToFit="1"/>
    </xf>
    <xf numFmtId="178" fontId="4" fillId="0" borderId="2" xfId="1" applyNumberFormat="1" applyFont="1" applyBorder="1"/>
    <xf numFmtId="178" fontId="5" fillId="0" borderId="2" xfId="1" applyNumberFormat="1" applyFont="1" applyBorder="1"/>
    <xf numFmtId="49" fontId="10" fillId="0" borderId="2" xfId="0" applyNumberFormat="1" applyFont="1" applyBorder="1" applyAlignment="1" quotePrefix="1">
      <alignment horizontal="center"/>
    </xf>
    <xf numFmtId="49" fontId="13" fillId="2" borderId="2" xfId="0" applyNumberFormat="1" applyFont="1" applyFill="1" applyBorder="1" applyAlignment="1" quotePrefix="1">
      <alignment horizontal="center" vertical="center"/>
    </xf>
    <xf numFmtId="0" fontId="15" fillId="2" borderId="2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tabSelected="1" topLeftCell="A35" workbookViewId="0">
      <selection activeCell="D53" sqref="D53"/>
    </sheetView>
  </sheetViews>
  <sheetFormatPr defaultColWidth="9" defaultRowHeight="15"/>
  <cols>
    <col min="1" max="1" width="5.14285714285714" style="5" customWidth="1"/>
    <col min="2" max="2" width="22.1428571428571" style="5" customWidth="1"/>
    <col min="3" max="3" width="9.71428571428571" style="5" customWidth="1"/>
    <col min="4" max="4" width="15.1428571428571" style="5" customWidth="1"/>
    <col min="5" max="5" width="9" style="6" customWidth="1"/>
    <col min="6" max="6" width="13.5714285714286" style="7" customWidth="1"/>
    <col min="7" max="7" width="8.42857142857143" style="8" customWidth="1"/>
    <col min="8" max="8" width="11.5714285714286" style="9" customWidth="1"/>
    <col min="9" max="9" width="11.5714285714286" style="7" customWidth="1"/>
    <col min="10" max="10" width="11.8571428571429" style="5" customWidth="1"/>
    <col min="11" max="16372" width="9.14285714285714" style="5"/>
    <col min="16373" max="16384" width="9" style="5"/>
  </cols>
  <sheetData>
    <row r="1" ht="33.75" customHeight="1" spans="1:9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ht="21.75" customHeight="1" spans="1:9">
      <c r="A2" s="11" t="s">
        <v>1</v>
      </c>
      <c r="B2" s="11" t="s">
        <v>2</v>
      </c>
      <c r="C2" s="11" t="s">
        <v>3</v>
      </c>
      <c r="D2" s="11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2" t="s">
        <v>9</v>
      </c>
    </row>
    <row r="3" s="1" customFormat="1" ht="18" customHeight="1" spans="1:9">
      <c r="A3" s="14">
        <v>1</v>
      </c>
      <c r="B3" s="15" t="s">
        <v>10</v>
      </c>
      <c r="C3" s="16" t="s">
        <v>11</v>
      </c>
      <c r="D3" s="16" t="s">
        <v>12</v>
      </c>
      <c r="E3" s="17">
        <v>7905</v>
      </c>
      <c r="F3" s="18">
        <f>E3+100</f>
        <v>8005</v>
      </c>
      <c r="G3" s="17">
        <v>6775</v>
      </c>
      <c r="H3" s="19">
        <f>G3*1.08</f>
        <v>7317</v>
      </c>
      <c r="I3" s="20">
        <f>H3+F3</f>
        <v>15322</v>
      </c>
    </row>
    <row r="4" s="1" customFormat="1" ht="18" customHeight="1" spans="1:9">
      <c r="A4" s="14">
        <v>2</v>
      </c>
      <c r="B4" s="15" t="s">
        <v>13</v>
      </c>
      <c r="C4" s="16" t="s">
        <v>14</v>
      </c>
      <c r="D4" s="16" t="s">
        <v>15</v>
      </c>
      <c r="E4" s="17">
        <v>7905</v>
      </c>
      <c r="F4" s="18">
        <f t="shared" ref="F4:F67" si="0">E4+100</f>
        <v>8005</v>
      </c>
      <c r="G4" s="17">
        <v>7700</v>
      </c>
      <c r="H4" s="19">
        <f t="shared" ref="H4:H68" si="1">G4*1.08</f>
        <v>8316</v>
      </c>
      <c r="I4" s="20">
        <f t="shared" ref="I4:I67" si="2">H4+F4</f>
        <v>16321</v>
      </c>
    </row>
    <row r="5" s="1" customFormat="1" ht="18" customHeight="1" spans="1:9">
      <c r="A5" s="14">
        <v>3</v>
      </c>
      <c r="B5" s="15" t="s">
        <v>16</v>
      </c>
      <c r="C5" s="21" t="s">
        <v>17</v>
      </c>
      <c r="D5" s="21" t="s">
        <v>18</v>
      </c>
      <c r="E5" s="17">
        <v>6755</v>
      </c>
      <c r="F5" s="18">
        <f t="shared" si="0"/>
        <v>6855</v>
      </c>
      <c r="G5" s="17">
        <v>9050</v>
      </c>
      <c r="H5" s="19">
        <f t="shared" si="1"/>
        <v>9774</v>
      </c>
      <c r="I5" s="20">
        <f t="shared" si="2"/>
        <v>16629</v>
      </c>
    </row>
    <row r="6" s="1" customFormat="1" ht="18" customHeight="1" spans="1:9">
      <c r="A6" s="14">
        <v>4</v>
      </c>
      <c r="B6" s="15" t="s">
        <v>19</v>
      </c>
      <c r="C6" s="21" t="s">
        <v>20</v>
      </c>
      <c r="D6" s="21" t="s">
        <v>21</v>
      </c>
      <c r="E6" s="17">
        <v>7905</v>
      </c>
      <c r="F6" s="18">
        <f t="shared" si="0"/>
        <v>8005</v>
      </c>
      <c r="G6" s="17">
        <v>7700</v>
      </c>
      <c r="H6" s="19">
        <f t="shared" si="1"/>
        <v>8316</v>
      </c>
      <c r="I6" s="20">
        <f t="shared" si="2"/>
        <v>16321</v>
      </c>
    </row>
    <row r="7" s="1" customFormat="1" ht="18" customHeight="1" spans="1:9">
      <c r="A7" s="14">
        <v>5</v>
      </c>
      <c r="B7" s="15" t="s">
        <v>22</v>
      </c>
      <c r="C7" s="21" t="s">
        <v>23</v>
      </c>
      <c r="D7" s="21" t="s">
        <v>24</v>
      </c>
      <c r="E7" s="17">
        <v>7060</v>
      </c>
      <c r="F7" s="18">
        <f t="shared" si="0"/>
        <v>7160</v>
      </c>
      <c r="G7" s="17">
        <v>4990</v>
      </c>
      <c r="H7" s="19">
        <f t="shared" si="1"/>
        <v>5389.2</v>
      </c>
      <c r="I7" s="20">
        <f t="shared" si="2"/>
        <v>12549.2</v>
      </c>
    </row>
    <row r="8" s="1" customFormat="1" ht="18" customHeight="1" spans="1:9">
      <c r="A8" s="14">
        <v>6</v>
      </c>
      <c r="B8" s="15" t="s">
        <v>25</v>
      </c>
      <c r="C8" s="21" t="s">
        <v>26</v>
      </c>
      <c r="D8" s="21" t="s">
        <v>27</v>
      </c>
      <c r="E8" s="17">
        <v>8005</v>
      </c>
      <c r="F8" s="18">
        <f t="shared" si="0"/>
        <v>8105</v>
      </c>
      <c r="G8" s="17">
        <v>7800</v>
      </c>
      <c r="H8" s="19">
        <f t="shared" si="1"/>
        <v>8424</v>
      </c>
      <c r="I8" s="20">
        <f t="shared" si="2"/>
        <v>16529</v>
      </c>
    </row>
    <row r="9" s="2" customFormat="1" ht="18" customHeight="1" spans="1:9">
      <c r="A9" s="14">
        <v>7</v>
      </c>
      <c r="B9" s="15" t="s">
        <v>28</v>
      </c>
      <c r="C9" s="50" t="s">
        <v>29</v>
      </c>
      <c r="D9" s="50" t="s">
        <v>30</v>
      </c>
      <c r="E9" s="17">
        <v>9330</v>
      </c>
      <c r="F9" s="18">
        <f t="shared" si="0"/>
        <v>9430</v>
      </c>
      <c r="G9" s="17">
        <v>6275</v>
      </c>
      <c r="H9" s="19">
        <f t="shared" si="1"/>
        <v>6777</v>
      </c>
      <c r="I9" s="20">
        <f t="shared" si="2"/>
        <v>16207</v>
      </c>
    </row>
    <row r="10" s="2" customFormat="1" ht="18" customHeight="1" spans="1:9">
      <c r="A10" s="14">
        <v>8</v>
      </c>
      <c r="B10" s="15" t="s">
        <v>28</v>
      </c>
      <c r="C10" s="21" t="s">
        <v>31</v>
      </c>
      <c r="D10" s="21" t="s">
        <v>32</v>
      </c>
      <c r="E10" s="17">
        <v>7905</v>
      </c>
      <c r="F10" s="18">
        <f t="shared" si="0"/>
        <v>8005</v>
      </c>
      <c r="G10" s="17">
        <v>7700</v>
      </c>
      <c r="H10" s="19">
        <f t="shared" si="1"/>
        <v>8316</v>
      </c>
      <c r="I10" s="20">
        <f t="shared" si="2"/>
        <v>16321</v>
      </c>
    </row>
    <row r="11" s="2" customFormat="1" ht="18" customHeight="1" spans="1:9">
      <c r="A11" s="14">
        <v>9</v>
      </c>
      <c r="B11" s="15" t="s">
        <v>33</v>
      </c>
      <c r="C11" s="21" t="s">
        <v>34</v>
      </c>
      <c r="D11" s="21" t="s">
        <v>35</v>
      </c>
      <c r="E11" s="17">
        <v>8105</v>
      </c>
      <c r="F11" s="18">
        <f t="shared" si="0"/>
        <v>8205</v>
      </c>
      <c r="G11" s="17">
        <v>7700</v>
      </c>
      <c r="H11" s="19">
        <f t="shared" si="1"/>
        <v>8316</v>
      </c>
      <c r="I11" s="20">
        <f t="shared" si="2"/>
        <v>16521</v>
      </c>
    </row>
    <row r="12" s="2" customFormat="1" ht="18" customHeight="1" spans="1:9">
      <c r="A12" s="14">
        <v>10</v>
      </c>
      <c r="B12" s="15" t="s">
        <v>36</v>
      </c>
      <c r="C12" s="16" t="s">
        <v>37</v>
      </c>
      <c r="D12" s="16" t="s">
        <v>38</v>
      </c>
      <c r="E12" s="17">
        <v>8055</v>
      </c>
      <c r="F12" s="18">
        <f t="shared" si="0"/>
        <v>8155</v>
      </c>
      <c r="G12" s="17">
        <v>7750</v>
      </c>
      <c r="H12" s="19">
        <f t="shared" si="1"/>
        <v>8370</v>
      </c>
      <c r="I12" s="20">
        <f t="shared" si="2"/>
        <v>16525</v>
      </c>
    </row>
    <row r="13" s="2" customFormat="1" ht="18" customHeight="1" spans="1:9">
      <c r="A13" s="14">
        <v>11</v>
      </c>
      <c r="B13" s="15" t="s">
        <v>39</v>
      </c>
      <c r="C13" s="16" t="s">
        <v>40</v>
      </c>
      <c r="D13" s="16" t="s">
        <v>41</v>
      </c>
      <c r="E13" s="17">
        <v>6455</v>
      </c>
      <c r="F13" s="18">
        <f t="shared" si="0"/>
        <v>6555</v>
      </c>
      <c r="G13" s="17">
        <v>7350</v>
      </c>
      <c r="H13" s="19">
        <f t="shared" si="1"/>
        <v>7938</v>
      </c>
      <c r="I13" s="20">
        <f t="shared" si="2"/>
        <v>14493</v>
      </c>
    </row>
    <row r="14" s="2" customFormat="1" ht="18" customHeight="1" spans="1:9">
      <c r="A14" s="14">
        <v>12</v>
      </c>
      <c r="B14" s="15" t="s">
        <v>42</v>
      </c>
      <c r="C14" s="16" t="s">
        <v>43</v>
      </c>
      <c r="D14" s="16" t="s">
        <v>44</v>
      </c>
      <c r="E14" s="17">
        <v>7785</v>
      </c>
      <c r="F14" s="18">
        <f t="shared" si="0"/>
        <v>7885</v>
      </c>
      <c r="G14" s="17">
        <v>6655</v>
      </c>
      <c r="H14" s="19">
        <f t="shared" si="1"/>
        <v>7187.4</v>
      </c>
      <c r="I14" s="20">
        <f t="shared" si="2"/>
        <v>15072.4</v>
      </c>
    </row>
    <row r="15" s="2" customFormat="1" ht="18" customHeight="1" spans="1:9">
      <c r="A15" s="14">
        <v>13</v>
      </c>
      <c r="B15" s="15" t="s">
        <v>45</v>
      </c>
      <c r="C15" s="16" t="s">
        <v>46</v>
      </c>
      <c r="D15" s="16" t="s">
        <v>47</v>
      </c>
      <c r="E15" s="17">
        <v>6240</v>
      </c>
      <c r="F15" s="18">
        <f t="shared" si="0"/>
        <v>6340</v>
      </c>
      <c r="G15" s="17">
        <v>9200</v>
      </c>
      <c r="H15" s="19">
        <f t="shared" si="1"/>
        <v>9936</v>
      </c>
      <c r="I15" s="20">
        <f t="shared" si="2"/>
        <v>16276</v>
      </c>
    </row>
    <row r="16" s="2" customFormat="1" ht="18" customHeight="1" spans="1:9">
      <c r="A16" s="14">
        <v>14</v>
      </c>
      <c r="B16" s="15" t="s">
        <v>48</v>
      </c>
      <c r="C16" s="16" t="s">
        <v>49</v>
      </c>
      <c r="D16" s="16" t="s">
        <v>50</v>
      </c>
      <c r="E16" s="17">
        <v>6090</v>
      </c>
      <c r="F16" s="18">
        <f t="shared" si="0"/>
        <v>6190</v>
      </c>
      <c r="G16" s="17">
        <v>4980</v>
      </c>
      <c r="H16" s="19">
        <f t="shared" si="1"/>
        <v>5378.4</v>
      </c>
      <c r="I16" s="20">
        <f t="shared" si="2"/>
        <v>11568.4</v>
      </c>
    </row>
    <row r="17" s="2" customFormat="1" ht="18" customHeight="1" spans="1:10">
      <c r="A17" s="14">
        <v>15</v>
      </c>
      <c r="B17" s="15" t="s">
        <v>51</v>
      </c>
      <c r="C17" s="16" t="s">
        <v>52</v>
      </c>
      <c r="D17" s="16" t="s">
        <v>53</v>
      </c>
      <c r="E17" s="17">
        <v>7905</v>
      </c>
      <c r="F17" s="18">
        <f t="shared" si="0"/>
        <v>8005</v>
      </c>
      <c r="G17" s="17">
        <v>7700</v>
      </c>
      <c r="H17" s="19">
        <f t="shared" si="1"/>
        <v>8316</v>
      </c>
      <c r="I17" s="20">
        <f t="shared" si="2"/>
        <v>16321</v>
      </c>
    </row>
    <row r="18" s="2" customFormat="1" ht="18" customHeight="1" spans="1:10">
      <c r="A18" s="14">
        <v>16</v>
      </c>
      <c r="B18" s="15" t="s">
        <v>54</v>
      </c>
      <c r="C18" s="16" t="s">
        <v>55</v>
      </c>
      <c r="D18" s="16" t="s">
        <v>56</v>
      </c>
      <c r="E18" s="17">
        <v>6240</v>
      </c>
      <c r="F18" s="18">
        <f t="shared" si="0"/>
        <v>6340</v>
      </c>
      <c r="G18" s="17">
        <v>9200</v>
      </c>
      <c r="H18" s="19">
        <f t="shared" si="1"/>
        <v>9936</v>
      </c>
      <c r="I18" s="20">
        <f t="shared" si="2"/>
        <v>16276</v>
      </c>
    </row>
    <row r="19" s="2" customFormat="1" ht="18" customHeight="1" spans="1:10">
      <c r="A19" s="14">
        <v>17</v>
      </c>
      <c r="B19" s="15" t="s">
        <v>57</v>
      </c>
      <c r="C19" s="16" t="s">
        <v>58</v>
      </c>
      <c r="D19" s="16" t="s">
        <v>59</v>
      </c>
      <c r="E19" s="17">
        <v>6435</v>
      </c>
      <c r="F19" s="18">
        <f t="shared" si="0"/>
        <v>6535</v>
      </c>
      <c r="G19" s="17">
        <v>9100</v>
      </c>
      <c r="H19" s="19">
        <f t="shared" si="1"/>
        <v>9828</v>
      </c>
      <c r="I19" s="20">
        <f t="shared" si="2"/>
        <v>16363</v>
      </c>
    </row>
    <row r="20" s="2" customFormat="1" ht="18" customHeight="1" spans="1:10">
      <c r="A20" s="14">
        <v>18</v>
      </c>
      <c r="B20" s="15" t="s">
        <v>60</v>
      </c>
      <c r="C20" s="16" t="s">
        <v>61</v>
      </c>
      <c r="D20" s="16" t="s">
        <v>62</v>
      </c>
      <c r="E20" s="17">
        <v>6240</v>
      </c>
      <c r="F20" s="18">
        <f t="shared" si="0"/>
        <v>6340</v>
      </c>
      <c r="G20" s="17">
        <v>9200</v>
      </c>
      <c r="H20" s="19">
        <f t="shared" si="1"/>
        <v>9936</v>
      </c>
      <c r="I20" s="20">
        <f t="shared" si="2"/>
        <v>16276</v>
      </c>
    </row>
    <row r="21" s="2" customFormat="1" ht="18" customHeight="1" spans="1:10">
      <c r="A21" s="14">
        <v>19</v>
      </c>
      <c r="B21" s="15" t="s">
        <v>63</v>
      </c>
      <c r="C21" s="16" t="s">
        <v>64</v>
      </c>
      <c r="D21" s="16" t="s">
        <v>65</v>
      </c>
      <c r="E21" s="17">
        <v>9950</v>
      </c>
      <c r="F21" s="18">
        <f t="shared" si="0"/>
        <v>10050</v>
      </c>
      <c r="G21" s="17">
        <v>5305</v>
      </c>
      <c r="H21" s="19">
        <f t="shared" si="1"/>
        <v>5729.4</v>
      </c>
      <c r="I21" s="20">
        <f t="shared" si="2"/>
        <v>15779.4</v>
      </c>
    </row>
    <row r="22" s="2" customFormat="1" ht="18" customHeight="1" spans="1:10">
      <c r="A22" s="14">
        <v>20</v>
      </c>
      <c r="B22" s="15" t="s">
        <v>66</v>
      </c>
      <c r="C22" s="16" t="s">
        <v>67</v>
      </c>
      <c r="D22" s="16" t="s">
        <v>68</v>
      </c>
      <c r="E22" s="17">
        <v>9890</v>
      </c>
      <c r="F22" s="18">
        <f t="shared" si="0"/>
        <v>9990</v>
      </c>
      <c r="G22" s="17">
        <v>5915</v>
      </c>
      <c r="H22" s="19">
        <f t="shared" si="1"/>
        <v>6388.2</v>
      </c>
      <c r="I22" s="20">
        <f t="shared" si="2"/>
        <v>16378.2</v>
      </c>
    </row>
    <row r="23" s="2" customFormat="1" ht="18" customHeight="1" spans="1:10">
      <c r="A23" s="14">
        <v>21</v>
      </c>
      <c r="B23" s="15" t="s">
        <v>69</v>
      </c>
      <c r="C23" s="16" t="s">
        <v>70</v>
      </c>
      <c r="D23" s="16" t="s">
        <v>71</v>
      </c>
      <c r="E23" s="17">
        <v>6450</v>
      </c>
      <c r="F23" s="18">
        <f t="shared" si="0"/>
        <v>6550</v>
      </c>
      <c r="G23" s="17">
        <v>6950</v>
      </c>
      <c r="H23" s="19">
        <f t="shared" si="1"/>
        <v>7506</v>
      </c>
      <c r="I23" s="20">
        <f t="shared" si="2"/>
        <v>14056</v>
      </c>
    </row>
    <row r="24" s="2" customFormat="1" ht="18" customHeight="1" spans="1:10">
      <c r="A24" s="14">
        <v>22</v>
      </c>
      <c r="B24" s="15" t="s">
        <v>72</v>
      </c>
      <c r="C24" s="16" t="s">
        <v>73</v>
      </c>
      <c r="D24" s="16" t="s">
        <v>74</v>
      </c>
      <c r="E24" s="17">
        <v>9380</v>
      </c>
      <c r="F24" s="18">
        <f t="shared" si="0"/>
        <v>9480</v>
      </c>
      <c r="G24" s="17">
        <v>5875</v>
      </c>
      <c r="H24" s="19">
        <f t="shared" si="1"/>
        <v>6345</v>
      </c>
      <c r="I24" s="20">
        <f t="shared" si="2"/>
        <v>15825</v>
      </c>
    </row>
    <row r="25" s="2" customFormat="1" ht="18" customHeight="1" spans="1:10">
      <c r="A25" s="14">
        <v>23</v>
      </c>
      <c r="B25" s="15" t="s">
        <v>75</v>
      </c>
      <c r="C25" s="16" t="s">
        <v>76</v>
      </c>
      <c r="D25" s="16" t="s">
        <v>77</v>
      </c>
      <c r="E25" s="17">
        <v>8255</v>
      </c>
      <c r="F25" s="18">
        <f t="shared" si="0"/>
        <v>8355</v>
      </c>
      <c r="G25" s="17">
        <v>5700</v>
      </c>
      <c r="H25" s="19">
        <f t="shared" si="1"/>
        <v>6156</v>
      </c>
      <c r="I25" s="20">
        <f t="shared" si="2"/>
        <v>14511</v>
      </c>
    </row>
    <row r="26" s="2" customFormat="1" ht="18" customHeight="1" spans="1:10">
      <c r="A26" s="14">
        <v>24</v>
      </c>
      <c r="B26" s="15" t="s">
        <v>78</v>
      </c>
      <c r="C26" s="16" t="s">
        <v>79</v>
      </c>
      <c r="D26" s="16" t="s">
        <v>80</v>
      </c>
      <c r="E26" s="17">
        <v>7905</v>
      </c>
      <c r="F26" s="18">
        <f t="shared" si="0"/>
        <v>8005</v>
      </c>
      <c r="G26" s="17">
        <v>6605</v>
      </c>
      <c r="H26" s="19">
        <f t="shared" si="1"/>
        <v>7133.4</v>
      </c>
      <c r="I26" s="20">
        <f t="shared" si="2"/>
        <v>15138.4</v>
      </c>
    </row>
    <row r="27" s="2" customFormat="1" ht="18" customHeight="1" spans="1:10">
      <c r="A27" s="14">
        <v>25</v>
      </c>
      <c r="B27" s="15" t="s">
        <v>81</v>
      </c>
      <c r="C27" s="16" t="s">
        <v>82</v>
      </c>
      <c r="D27" s="16" t="s">
        <v>83</v>
      </c>
      <c r="E27" s="17">
        <v>8060</v>
      </c>
      <c r="F27" s="18">
        <f t="shared" si="0"/>
        <v>8160</v>
      </c>
      <c r="G27" s="17">
        <v>6380</v>
      </c>
      <c r="H27" s="19">
        <f t="shared" si="1"/>
        <v>6890.4</v>
      </c>
      <c r="I27" s="20">
        <f t="shared" si="2"/>
        <v>15050.4</v>
      </c>
    </row>
    <row r="28" s="2" customFormat="1" ht="18" customHeight="1" spans="1:10">
      <c r="A28" s="14">
        <v>26</v>
      </c>
      <c r="B28" s="15" t="s">
        <v>28</v>
      </c>
      <c r="C28" s="16" t="s">
        <v>84</v>
      </c>
      <c r="D28" s="16" t="s">
        <v>85</v>
      </c>
      <c r="E28" s="17">
        <v>6240</v>
      </c>
      <c r="F28" s="18">
        <f t="shared" si="0"/>
        <v>6340</v>
      </c>
      <c r="G28" s="17">
        <v>9200</v>
      </c>
      <c r="H28" s="19">
        <f t="shared" si="1"/>
        <v>9936</v>
      </c>
      <c r="I28" s="20">
        <f t="shared" si="2"/>
        <v>16276</v>
      </c>
    </row>
    <row r="29" s="2" customFormat="1" ht="18" customHeight="1" spans="1:10">
      <c r="A29" s="14">
        <v>27</v>
      </c>
      <c r="B29" s="15" t="s">
        <v>86</v>
      </c>
      <c r="C29" s="16" t="s">
        <v>87</v>
      </c>
      <c r="D29" s="16" t="s">
        <v>88</v>
      </c>
      <c r="E29" s="17">
        <v>7905</v>
      </c>
      <c r="F29" s="18">
        <f t="shared" si="0"/>
        <v>8005</v>
      </c>
      <c r="G29" s="17">
        <v>6535</v>
      </c>
      <c r="H29" s="19">
        <f t="shared" si="1"/>
        <v>7057.8</v>
      </c>
      <c r="I29" s="20">
        <f t="shared" si="2"/>
        <v>15062.8</v>
      </c>
    </row>
    <row r="30" s="2" customFormat="1" ht="18" customHeight="1" spans="1:10">
      <c r="A30" s="14">
        <v>28</v>
      </c>
      <c r="B30" s="15" t="s">
        <v>89</v>
      </c>
      <c r="C30" s="16" t="s">
        <v>90</v>
      </c>
      <c r="D30" s="16" t="s">
        <v>91</v>
      </c>
      <c r="E30" s="17">
        <v>6745</v>
      </c>
      <c r="F30" s="18">
        <f t="shared" si="0"/>
        <v>6845</v>
      </c>
      <c r="G30" s="17">
        <v>9060</v>
      </c>
      <c r="H30" s="19">
        <f t="shared" si="1"/>
        <v>9784.8</v>
      </c>
      <c r="I30" s="20">
        <f t="shared" si="2"/>
        <v>16629.8</v>
      </c>
    </row>
    <row r="31" s="2" customFormat="1" ht="18" customHeight="1" spans="1:10">
      <c r="A31" s="14">
        <v>29</v>
      </c>
      <c r="B31" s="15" t="s">
        <v>28</v>
      </c>
      <c r="C31" s="16" t="s">
        <v>92</v>
      </c>
      <c r="D31" s="16" t="s">
        <v>93</v>
      </c>
      <c r="E31" s="17">
        <v>9915</v>
      </c>
      <c r="F31" s="18">
        <f t="shared" si="0"/>
        <v>10015</v>
      </c>
      <c r="G31" s="17">
        <v>5340</v>
      </c>
      <c r="H31" s="19">
        <f t="shared" si="1"/>
        <v>5767.2</v>
      </c>
      <c r="I31" s="20">
        <f t="shared" si="2"/>
        <v>15782.2</v>
      </c>
      <c r="J31" s="1"/>
    </row>
    <row r="32" s="2" customFormat="1" ht="18" customHeight="1" spans="1:10">
      <c r="A32" s="14">
        <v>30</v>
      </c>
      <c r="B32" s="15" t="s">
        <v>94</v>
      </c>
      <c r="C32" s="16" t="s">
        <v>95</v>
      </c>
      <c r="D32" s="16" t="s">
        <v>96</v>
      </c>
      <c r="E32" s="17">
        <v>9790</v>
      </c>
      <c r="F32" s="18">
        <f t="shared" si="0"/>
        <v>9890</v>
      </c>
      <c r="G32" s="17">
        <v>6015</v>
      </c>
      <c r="H32" s="19">
        <f t="shared" si="1"/>
        <v>6496.2</v>
      </c>
      <c r="I32" s="20">
        <f t="shared" si="2"/>
        <v>16386.2</v>
      </c>
    </row>
    <row r="33" s="2" customFormat="1" ht="18" customHeight="1" spans="1:10">
      <c r="A33" s="14">
        <v>31</v>
      </c>
      <c r="B33" s="15" t="s">
        <v>97</v>
      </c>
      <c r="C33" s="16" t="s">
        <v>98</v>
      </c>
      <c r="D33" s="16" t="s">
        <v>99</v>
      </c>
      <c r="E33" s="17">
        <v>8255</v>
      </c>
      <c r="F33" s="18">
        <f t="shared" si="0"/>
        <v>8355</v>
      </c>
      <c r="G33" s="17">
        <v>7000</v>
      </c>
      <c r="H33" s="19">
        <f t="shared" si="1"/>
        <v>7560</v>
      </c>
      <c r="I33" s="20">
        <f t="shared" si="2"/>
        <v>15915</v>
      </c>
    </row>
    <row r="34" s="2" customFormat="1" ht="18" customHeight="1" spans="1:10">
      <c r="A34" s="14">
        <v>32</v>
      </c>
      <c r="B34" s="15" t="s">
        <v>100</v>
      </c>
      <c r="C34" s="16" t="s">
        <v>101</v>
      </c>
      <c r="D34" s="16" t="s">
        <v>102</v>
      </c>
      <c r="E34" s="17">
        <v>10050</v>
      </c>
      <c r="F34" s="18">
        <f t="shared" si="0"/>
        <v>10150</v>
      </c>
      <c r="G34" s="17">
        <v>5820</v>
      </c>
      <c r="H34" s="19">
        <f t="shared" si="1"/>
        <v>6285.6</v>
      </c>
      <c r="I34" s="20">
        <f t="shared" si="2"/>
        <v>16435.6</v>
      </c>
    </row>
    <row r="35" s="2" customFormat="1" ht="18" customHeight="1" spans="1:10">
      <c r="A35" s="14">
        <v>33</v>
      </c>
      <c r="B35" s="15" t="s">
        <v>103</v>
      </c>
      <c r="C35" s="16" t="s">
        <v>104</v>
      </c>
      <c r="D35" s="16" t="s">
        <v>105</v>
      </c>
      <c r="E35" s="17">
        <v>5580</v>
      </c>
      <c r="F35" s="18">
        <f t="shared" si="0"/>
        <v>5680</v>
      </c>
      <c r="G35" s="17">
        <v>8300</v>
      </c>
      <c r="H35" s="19">
        <f t="shared" si="1"/>
        <v>8964</v>
      </c>
      <c r="I35" s="20">
        <f t="shared" si="2"/>
        <v>14644</v>
      </c>
    </row>
    <row r="36" s="2" customFormat="1" ht="18" customHeight="1" spans="1:10">
      <c r="A36" s="14">
        <v>34</v>
      </c>
      <c r="B36" s="15" t="s">
        <v>106</v>
      </c>
      <c r="C36" s="16" t="s">
        <v>107</v>
      </c>
      <c r="D36" s="16" t="s">
        <v>108</v>
      </c>
      <c r="E36" s="17">
        <v>7905</v>
      </c>
      <c r="F36" s="18">
        <f t="shared" si="0"/>
        <v>8005</v>
      </c>
      <c r="G36" s="17">
        <v>6385</v>
      </c>
      <c r="H36" s="19">
        <f t="shared" si="1"/>
        <v>6895.8</v>
      </c>
      <c r="I36" s="20">
        <f t="shared" si="2"/>
        <v>14900.8</v>
      </c>
      <c r="J36" s="22"/>
    </row>
    <row r="37" s="2" customFormat="1" ht="18" customHeight="1" spans="1:10">
      <c r="A37" s="14">
        <v>35</v>
      </c>
      <c r="B37" s="15" t="s">
        <v>109</v>
      </c>
      <c r="C37" s="16" t="s">
        <v>110</v>
      </c>
      <c r="D37" s="16" t="s">
        <v>111</v>
      </c>
      <c r="E37" s="17">
        <v>8005</v>
      </c>
      <c r="F37" s="18">
        <f t="shared" si="0"/>
        <v>8105</v>
      </c>
      <c r="G37" s="17">
        <v>7800</v>
      </c>
      <c r="H37" s="19">
        <f t="shared" si="1"/>
        <v>8424</v>
      </c>
      <c r="I37" s="20">
        <f t="shared" si="2"/>
        <v>16529</v>
      </c>
    </row>
    <row r="38" s="1" customFormat="1" ht="18" customHeight="1" spans="1:10">
      <c r="A38" s="14">
        <v>36</v>
      </c>
      <c r="B38" s="15" t="s">
        <v>112</v>
      </c>
      <c r="C38" s="21" t="s">
        <v>113</v>
      </c>
      <c r="D38" s="21" t="s">
        <v>114</v>
      </c>
      <c r="E38" s="17">
        <v>6240</v>
      </c>
      <c r="F38" s="18">
        <f t="shared" si="0"/>
        <v>6340</v>
      </c>
      <c r="G38" s="17">
        <v>9200</v>
      </c>
      <c r="H38" s="19">
        <f t="shared" si="1"/>
        <v>9936</v>
      </c>
      <c r="I38" s="20">
        <f t="shared" si="2"/>
        <v>16276</v>
      </c>
    </row>
    <row r="39" s="1" customFormat="1" ht="18" customHeight="1" spans="1:10">
      <c r="A39" s="14">
        <v>37</v>
      </c>
      <c r="B39" s="15" t="s">
        <v>115</v>
      </c>
      <c r="C39" s="16" t="s">
        <v>116</v>
      </c>
      <c r="D39" s="16" t="s">
        <v>117</v>
      </c>
      <c r="E39" s="17">
        <v>5495</v>
      </c>
      <c r="F39" s="18">
        <f t="shared" si="0"/>
        <v>5595</v>
      </c>
      <c r="G39" s="17">
        <v>6450</v>
      </c>
      <c r="H39" s="19">
        <f t="shared" si="1"/>
        <v>6966</v>
      </c>
      <c r="I39" s="20">
        <f t="shared" si="2"/>
        <v>12561</v>
      </c>
    </row>
    <row r="40" s="1" customFormat="1" ht="18" customHeight="1" spans="1:10">
      <c r="A40" s="14">
        <v>38</v>
      </c>
      <c r="B40" s="15" t="s">
        <v>118</v>
      </c>
      <c r="C40" s="16" t="s">
        <v>119</v>
      </c>
      <c r="D40" s="16" t="s">
        <v>120</v>
      </c>
      <c r="E40" s="17">
        <v>6240</v>
      </c>
      <c r="F40" s="18">
        <f t="shared" si="0"/>
        <v>6340</v>
      </c>
      <c r="G40" s="17">
        <v>9200</v>
      </c>
      <c r="H40" s="19">
        <f t="shared" si="1"/>
        <v>9936</v>
      </c>
      <c r="I40" s="20">
        <f t="shared" si="2"/>
        <v>16276</v>
      </c>
    </row>
    <row r="41" s="1" customFormat="1" ht="18" customHeight="1" spans="1:10">
      <c r="A41" s="14">
        <v>39</v>
      </c>
      <c r="B41" s="15" t="s">
        <v>121</v>
      </c>
      <c r="C41" s="21" t="s">
        <v>122</v>
      </c>
      <c r="D41" s="21" t="s">
        <v>123</v>
      </c>
      <c r="E41" s="17">
        <v>7905</v>
      </c>
      <c r="F41" s="18">
        <f t="shared" si="0"/>
        <v>8005</v>
      </c>
      <c r="G41" s="17">
        <v>7700</v>
      </c>
      <c r="H41" s="19">
        <f t="shared" si="1"/>
        <v>8316</v>
      </c>
      <c r="I41" s="20">
        <f t="shared" si="2"/>
        <v>16321</v>
      </c>
    </row>
    <row r="42" s="1" customFormat="1" ht="18" customHeight="1" spans="1:10">
      <c r="A42" s="14">
        <v>40</v>
      </c>
      <c r="B42" s="15" t="s">
        <v>124</v>
      </c>
      <c r="C42" s="21" t="s">
        <v>125</v>
      </c>
      <c r="D42" s="21" t="s">
        <v>126</v>
      </c>
      <c r="E42" s="17">
        <v>8630</v>
      </c>
      <c r="F42" s="18">
        <f t="shared" si="0"/>
        <v>8730</v>
      </c>
      <c r="G42" s="17">
        <v>6975</v>
      </c>
      <c r="H42" s="19">
        <f t="shared" si="1"/>
        <v>7533</v>
      </c>
      <c r="I42" s="20">
        <f t="shared" si="2"/>
        <v>16263</v>
      </c>
    </row>
    <row r="43" s="1" customFormat="1" ht="18" customHeight="1" spans="1:10">
      <c r="A43" s="14">
        <v>41</v>
      </c>
      <c r="B43" s="15" t="s">
        <v>94</v>
      </c>
      <c r="C43" s="16" t="s">
        <v>127</v>
      </c>
      <c r="D43" s="16" t="s">
        <v>128</v>
      </c>
      <c r="E43" s="17">
        <v>6230</v>
      </c>
      <c r="F43" s="18">
        <f t="shared" si="0"/>
        <v>6330</v>
      </c>
      <c r="G43" s="17">
        <v>7585</v>
      </c>
      <c r="H43" s="19">
        <f t="shared" si="1"/>
        <v>8191.8</v>
      </c>
      <c r="I43" s="20">
        <f t="shared" si="2"/>
        <v>14521.8</v>
      </c>
    </row>
    <row r="44" s="3" customFormat="1" ht="18" customHeight="1" spans="1:10">
      <c r="A44" s="14">
        <v>42</v>
      </c>
      <c r="B44" s="23" t="s">
        <v>129</v>
      </c>
      <c r="C44" s="24" t="s">
        <v>130</v>
      </c>
      <c r="D44" s="24" t="s">
        <v>131</v>
      </c>
      <c r="E44" s="25">
        <v>8255</v>
      </c>
      <c r="F44" s="26">
        <f t="shared" si="0"/>
        <v>8355</v>
      </c>
      <c r="G44" s="25">
        <v>7000</v>
      </c>
      <c r="H44" s="27">
        <f t="shared" si="1"/>
        <v>7560</v>
      </c>
      <c r="I44" s="28">
        <f t="shared" si="2"/>
        <v>15915</v>
      </c>
    </row>
    <row r="45" s="2" customFormat="1" ht="18" customHeight="1" spans="1:10">
      <c r="A45" s="14">
        <v>43</v>
      </c>
      <c r="B45" s="15" t="s">
        <v>132</v>
      </c>
      <c r="C45" s="21" t="s">
        <v>133</v>
      </c>
      <c r="D45" s="21" t="s">
        <v>134</v>
      </c>
      <c r="E45" s="17">
        <v>10310</v>
      </c>
      <c r="F45" s="18">
        <f t="shared" si="0"/>
        <v>10410</v>
      </c>
      <c r="G45" s="17">
        <v>4615</v>
      </c>
      <c r="H45" s="19">
        <f t="shared" si="1"/>
        <v>4984.2</v>
      </c>
      <c r="I45" s="20">
        <f t="shared" si="2"/>
        <v>15394.2</v>
      </c>
    </row>
    <row r="46" s="1" customFormat="1" ht="18" customHeight="1" spans="1:10">
      <c r="A46" s="14">
        <v>44</v>
      </c>
      <c r="B46" s="29" t="s">
        <v>135</v>
      </c>
      <c r="C46" s="30" t="s">
        <v>136</v>
      </c>
      <c r="D46" s="30" t="s">
        <v>137</v>
      </c>
      <c r="E46" s="31">
        <v>8105</v>
      </c>
      <c r="F46" s="32">
        <f t="shared" si="0"/>
        <v>8205</v>
      </c>
      <c r="G46" s="31">
        <v>7700</v>
      </c>
      <c r="H46" s="33">
        <f t="shared" si="1"/>
        <v>8316</v>
      </c>
      <c r="I46" s="34">
        <f t="shared" si="2"/>
        <v>16521</v>
      </c>
    </row>
    <row r="47" s="2" customFormat="1" ht="18" customHeight="1" spans="1:10">
      <c r="A47" s="14">
        <v>45</v>
      </c>
      <c r="B47" s="15" t="s">
        <v>138</v>
      </c>
      <c r="C47" s="16" t="s">
        <v>139</v>
      </c>
      <c r="D47" s="16" t="s">
        <v>140</v>
      </c>
      <c r="E47" s="17">
        <v>7905</v>
      </c>
      <c r="F47" s="18">
        <f t="shared" si="0"/>
        <v>8005</v>
      </c>
      <c r="G47" s="17">
        <v>7700</v>
      </c>
      <c r="H47" s="19">
        <f t="shared" si="1"/>
        <v>8316</v>
      </c>
      <c r="I47" s="20">
        <f t="shared" si="2"/>
        <v>16321</v>
      </c>
    </row>
    <row r="48" s="2" customFormat="1" ht="18" customHeight="1" spans="1:10">
      <c r="A48" s="14">
        <v>46</v>
      </c>
      <c r="B48" s="15" t="s">
        <v>141</v>
      </c>
      <c r="C48" s="16" t="s">
        <v>142</v>
      </c>
      <c r="D48" s="16" t="s">
        <v>143</v>
      </c>
      <c r="E48" s="17">
        <v>6240</v>
      </c>
      <c r="F48" s="18">
        <f t="shared" si="0"/>
        <v>6340</v>
      </c>
      <c r="G48" s="17">
        <v>9200</v>
      </c>
      <c r="H48" s="19">
        <f t="shared" si="1"/>
        <v>9936</v>
      </c>
      <c r="I48" s="20">
        <f t="shared" si="2"/>
        <v>16276</v>
      </c>
    </row>
    <row r="49" s="2" customFormat="1" ht="18" customHeight="1" spans="1:9">
      <c r="A49" s="14">
        <v>47</v>
      </c>
      <c r="B49" s="15" t="s">
        <v>144</v>
      </c>
      <c r="C49" s="16" t="s">
        <v>145</v>
      </c>
      <c r="D49" s="16" t="s">
        <v>146</v>
      </c>
      <c r="E49" s="17">
        <v>7905</v>
      </c>
      <c r="F49" s="18">
        <f t="shared" si="0"/>
        <v>8005</v>
      </c>
      <c r="G49" s="17">
        <v>7700</v>
      </c>
      <c r="H49" s="19">
        <f t="shared" si="1"/>
        <v>8316</v>
      </c>
      <c r="I49" s="20">
        <f t="shared" si="2"/>
        <v>16321</v>
      </c>
    </row>
    <row r="50" s="2" customFormat="1" ht="18" customHeight="1" spans="1:9">
      <c r="A50" s="14">
        <v>48</v>
      </c>
      <c r="B50" s="35" t="s">
        <v>144</v>
      </c>
      <c r="C50" s="36" t="s">
        <v>145</v>
      </c>
      <c r="D50" s="36" t="s">
        <v>147</v>
      </c>
      <c r="E50" s="17">
        <v>8950</v>
      </c>
      <c r="F50" s="18">
        <f t="shared" si="0"/>
        <v>9050</v>
      </c>
      <c r="G50" s="17">
        <v>6655</v>
      </c>
      <c r="H50" s="19">
        <f t="shared" si="1"/>
        <v>7187.4</v>
      </c>
      <c r="I50" s="20">
        <f t="shared" si="2"/>
        <v>16237.4</v>
      </c>
    </row>
    <row r="51" s="2" customFormat="1" ht="18" customHeight="1" spans="1:9">
      <c r="A51" s="14">
        <v>49</v>
      </c>
      <c r="B51" s="15" t="s">
        <v>148</v>
      </c>
      <c r="C51" s="16" t="s">
        <v>149</v>
      </c>
      <c r="D51" s="16" t="s">
        <v>150</v>
      </c>
      <c r="E51" s="17">
        <v>8005</v>
      </c>
      <c r="F51" s="18">
        <f t="shared" si="0"/>
        <v>8105</v>
      </c>
      <c r="G51" s="17">
        <v>7800</v>
      </c>
      <c r="H51" s="19">
        <f t="shared" si="1"/>
        <v>8424</v>
      </c>
      <c r="I51" s="20">
        <f t="shared" si="2"/>
        <v>16529</v>
      </c>
    </row>
    <row r="52" s="2" customFormat="1" ht="18" customHeight="1" spans="1:9">
      <c r="A52" s="14">
        <v>50</v>
      </c>
      <c r="B52" s="15" t="s">
        <v>151</v>
      </c>
      <c r="C52" s="16" t="s">
        <v>152</v>
      </c>
      <c r="D52" s="16" t="s">
        <v>153</v>
      </c>
      <c r="E52" s="17">
        <v>8600</v>
      </c>
      <c r="F52" s="18">
        <f t="shared" si="0"/>
        <v>8700</v>
      </c>
      <c r="G52" s="17">
        <v>6100</v>
      </c>
      <c r="H52" s="19">
        <f t="shared" si="1"/>
        <v>6588</v>
      </c>
      <c r="I52" s="20">
        <f t="shared" si="2"/>
        <v>15288</v>
      </c>
    </row>
    <row r="53" s="2" customFormat="1" ht="18" customHeight="1" spans="1:9">
      <c r="A53" s="14">
        <v>51</v>
      </c>
      <c r="B53" s="15" t="s">
        <v>124</v>
      </c>
      <c r="C53" s="16" t="s">
        <v>154</v>
      </c>
      <c r="D53" s="16" t="s">
        <v>155</v>
      </c>
      <c r="E53" s="17">
        <v>7905</v>
      </c>
      <c r="F53" s="18">
        <f t="shared" si="0"/>
        <v>8005</v>
      </c>
      <c r="G53" s="17">
        <v>7700</v>
      </c>
      <c r="H53" s="19">
        <f t="shared" si="1"/>
        <v>8316</v>
      </c>
      <c r="I53" s="20">
        <f t="shared" si="2"/>
        <v>16321</v>
      </c>
    </row>
    <row r="54" s="2" customFormat="1" ht="18" customHeight="1" spans="1:9">
      <c r="A54" s="14">
        <v>52</v>
      </c>
      <c r="B54" s="15" t="s">
        <v>156</v>
      </c>
      <c r="C54" s="16" t="s">
        <v>157</v>
      </c>
      <c r="D54" s="16" t="s">
        <v>158</v>
      </c>
      <c r="E54" s="17">
        <v>7105</v>
      </c>
      <c r="F54" s="18">
        <f t="shared" si="0"/>
        <v>7205</v>
      </c>
      <c r="G54" s="17">
        <v>8370</v>
      </c>
      <c r="H54" s="19">
        <f t="shared" si="1"/>
        <v>9039.6</v>
      </c>
      <c r="I54" s="20">
        <f t="shared" si="2"/>
        <v>16244.6</v>
      </c>
    </row>
    <row r="55" s="2" customFormat="1" ht="18" customHeight="1" spans="1:9">
      <c r="A55" s="14">
        <v>53</v>
      </c>
      <c r="B55" s="15" t="s">
        <v>159</v>
      </c>
      <c r="C55" s="16" t="s">
        <v>160</v>
      </c>
      <c r="D55" s="16" t="s">
        <v>161</v>
      </c>
      <c r="E55" s="17">
        <v>6240</v>
      </c>
      <c r="F55" s="18">
        <f t="shared" si="0"/>
        <v>6340</v>
      </c>
      <c r="G55" s="17">
        <v>9200</v>
      </c>
      <c r="H55" s="19">
        <f t="shared" si="1"/>
        <v>9936</v>
      </c>
      <c r="I55" s="20">
        <f t="shared" si="2"/>
        <v>16276</v>
      </c>
    </row>
    <row r="56" s="2" customFormat="1" ht="18" customHeight="1" spans="1:9">
      <c r="A56" s="14">
        <v>54</v>
      </c>
      <c r="B56" s="15" t="s">
        <v>36</v>
      </c>
      <c r="C56" s="16" t="s">
        <v>162</v>
      </c>
      <c r="D56" s="16" t="s">
        <v>163</v>
      </c>
      <c r="E56" s="17">
        <v>6305</v>
      </c>
      <c r="F56" s="18">
        <f t="shared" si="0"/>
        <v>6405</v>
      </c>
      <c r="G56" s="17">
        <v>7000</v>
      </c>
      <c r="H56" s="19">
        <f t="shared" si="1"/>
        <v>7560</v>
      </c>
      <c r="I56" s="20">
        <f t="shared" si="2"/>
        <v>13965</v>
      </c>
    </row>
    <row r="57" s="2" customFormat="1" ht="18" customHeight="1" spans="1:9">
      <c r="A57" s="14">
        <v>55</v>
      </c>
      <c r="B57" s="15" t="s">
        <v>164</v>
      </c>
      <c r="C57" s="16" t="s">
        <v>165</v>
      </c>
      <c r="D57" s="16" t="s">
        <v>166</v>
      </c>
      <c r="E57" s="17">
        <v>9360</v>
      </c>
      <c r="F57" s="18">
        <f t="shared" si="0"/>
        <v>9460</v>
      </c>
      <c r="G57" s="17">
        <v>6245</v>
      </c>
      <c r="H57" s="19">
        <f t="shared" si="1"/>
        <v>6744.6</v>
      </c>
      <c r="I57" s="20">
        <f t="shared" si="2"/>
        <v>16204.6</v>
      </c>
    </row>
    <row r="58" s="2" customFormat="1" ht="18" customHeight="1" spans="1:9">
      <c r="A58" s="14">
        <v>56</v>
      </c>
      <c r="B58" s="15" t="s">
        <v>167</v>
      </c>
      <c r="C58" s="16" t="s">
        <v>168</v>
      </c>
      <c r="D58" s="16" t="s">
        <v>169</v>
      </c>
      <c r="E58" s="17">
        <v>6240</v>
      </c>
      <c r="F58" s="18">
        <f t="shared" si="0"/>
        <v>6340</v>
      </c>
      <c r="G58" s="17">
        <v>9200</v>
      </c>
      <c r="H58" s="19">
        <f t="shared" si="1"/>
        <v>9936</v>
      </c>
      <c r="I58" s="20">
        <f t="shared" si="2"/>
        <v>16276</v>
      </c>
    </row>
    <row r="59" s="2" customFormat="1" ht="18" customHeight="1" spans="1:9">
      <c r="A59" s="14">
        <v>57</v>
      </c>
      <c r="B59" s="15" t="s">
        <v>36</v>
      </c>
      <c r="C59" s="16" t="s">
        <v>170</v>
      </c>
      <c r="D59" s="16" t="s">
        <v>171</v>
      </c>
      <c r="E59" s="17">
        <v>7905</v>
      </c>
      <c r="F59" s="18">
        <f t="shared" si="0"/>
        <v>8005</v>
      </c>
      <c r="G59" s="17">
        <v>7700</v>
      </c>
      <c r="H59" s="19">
        <f t="shared" si="1"/>
        <v>8316</v>
      </c>
      <c r="I59" s="20">
        <f t="shared" si="2"/>
        <v>16321</v>
      </c>
    </row>
    <row r="60" s="2" customFormat="1" ht="18" customHeight="1" spans="1:9">
      <c r="A60" s="14">
        <v>58</v>
      </c>
      <c r="B60" s="15" t="s">
        <v>172</v>
      </c>
      <c r="C60" s="16" t="s">
        <v>173</v>
      </c>
      <c r="D60" s="16" t="s">
        <v>174</v>
      </c>
      <c r="E60" s="17">
        <v>7905</v>
      </c>
      <c r="F60" s="18">
        <f t="shared" si="0"/>
        <v>8005</v>
      </c>
      <c r="G60" s="17">
        <v>7700</v>
      </c>
      <c r="H60" s="19">
        <f t="shared" si="1"/>
        <v>8316</v>
      </c>
      <c r="I60" s="20">
        <f t="shared" si="2"/>
        <v>16321</v>
      </c>
    </row>
    <row r="61" s="2" customFormat="1" ht="18" customHeight="1" spans="1:9">
      <c r="A61" s="14">
        <v>59</v>
      </c>
      <c r="B61" s="15" t="s">
        <v>175</v>
      </c>
      <c r="C61" s="16" t="s">
        <v>176</v>
      </c>
      <c r="D61" s="16" t="s">
        <v>177</v>
      </c>
      <c r="E61" s="17">
        <v>5855</v>
      </c>
      <c r="F61" s="18">
        <f t="shared" si="0"/>
        <v>5955</v>
      </c>
      <c r="G61" s="17">
        <v>7950</v>
      </c>
      <c r="H61" s="19">
        <f t="shared" si="1"/>
        <v>8586</v>
      </c>
      <c r="I61" s="20">
        <f t="shared" si="2"/>
        <v>14541</v>
      </c>
    </row>
    <row r="62" s="2" customFormat="1" ht="18" customHeight="1" spans="1:9">
      <c r="A62" s="14">
        <v>60</v>
      </c>
      <c r="B62" s="15" t="s">
        <v>178</v>
      </c>
      <c r="C62" s="16" t="s">
        <v>179</v>
      </c>
      <c r="D62" s="16" t="s">
        <v>180</v>
      </c>
      <c r="E62" s="17">
        <v>8105</v>
      </c>
      <c r="F62" s="18">
        <f t="shared" si="0"/>
        <v>8205</v>
      </c>
      <c r="G62" s="17">
        <v>7700</v>
      </c>
      <c r="H62" s="19">
        <f t="shared" si="1"/>
        <v>8316</v>
      </c>
      <c r="I62" s="20">
        <f t="shared" si="2"/>
        <v>16521</v>
      </c>
    </row>
    <row r="63" s="2" customFormat="1" ht="18" customHeight="1" spans="1:9">
      <c r="A63" s="14">
        <v>61</v>
      </c>
      <c r="B63" s="15" t="s">
        <v>181</v>
      </c>
      <c r="C63" s="16"/>
      <c r="D63" s="30" t="s">
        <v>182</v>
      </c>
      <c r="E63" s="17">
        <v>10555</v>
      </c>
      <c r="F63" s="18">
        <f t="shared" si="0"/>
        <v>10655</v>
      </c>
      <c r="G63" s="17">
        <v>4150</v>
      </c>
      <c r="H63" s="19">
        <f t="shared" si="1"/>
        <v>4482</v>
      </c>
      <c r="I63" s="20">
        <f t="shared" si="2"/>
        <v>15137</v>
      </c>
    </row>
    <row r="64" s="3" customFormat="1" ht="18" customHeight="1" spans="1:9">
      <c r="A64" s="14">
        <v>62</v>
      </c>
      <c r="B64" s="23" t="s">
        <v>183</v>
      </c>
      <c r="C64" s="37" t="s">
        <v>184</v>
      </c>
      <c r="D64" s="37" t="s">
        <v>185</v>
      </c>
      <c r="E64" s="25">
        <v>5495</v>
      </c>
      <c r="F64" s="26">
        <f t="shared" si="0"/>
        <v>5595</v>
      </c>
      <c r="G64" s="25">
        <v>6450</v>
      </c>
      <c r="H64" s="27">
        <f t="shared" si="1"/>
        <v>6966</v>
      </c>
      <c r="I64" s="28">
        <f t="shared" si="2"/>
        <v>12561</v>
      </c>
    </row>
    <row r="65" s="3" customFormat="1" ht="18" customHeight="1" spans="1:9">
      <c r="A65" s="14">
        <v>63</v>
      </c>
      <c r="B65" s="23" t="s">
        <v>186</v>
      </c>
      <c r="C65" s="37" t="s">
        <v>187</v>
      </c>
      <c r="D65" s="37" t="s">
        <v>188</v>
      </c>
      <c r="E65" s="25">
        <v>5380</v>
      </c>
      <c r="F65" s="26">
        <f t="shared" si="0"/>
        <v>5480</v>
      </c>
      <c r="G65" s="25">
        <v>3450</v>
      </c>
      <c r="H65" s="27">
        <f t="shared" si="1"/>
        <v>3726</v>
      </c>
      <c r="I65" s="28">
        <f t="shared" si="2"/>
        <v>9206</v>
      </c>
    </row>
    <row r="66" s="2" customFormat="1" ht="18" customHeight="1" spans="1:9">
      <c r="A66" s="14">
        <v>64</v>
      </c>
      <c r="B66" s="15" t="s">
        <v>189</v>
      </c>
      <c r="C66" s="16" t="s">
        <v>190</v>
      </c>
      <c r="D66" s="16" t="s">
        <v>191</v>
      </c>
      <c r="E66" s="17">
        <v>7905</v>
      </c>
      <c r="F66" s="18">
        <f t="shared" si="0"/>
        <v>8005</v>
      </c>
      <c r="G66" s="17">
        <v>6545</v>
      </c>
      <c r="H66" s="19">
        <f t="shared" si="1"/>
        <v>7068.6</v>
      </c>
      <c r="I66" s="20">
        <f t="shared" si="2"/>
        <v>15073.6</v>
      </c>
    </row>
    <row r="67" s="2" customFormat="1" ht="18" customHeight="1" spans="1:9">
      <c r="A67" s="14">
        <v>65</v>
      </c>
      <c r="B67" s="15" t="s">
        <v>192</v>
      </c>
      <c r="C67" s="16" t="s">
        <v>193</v>
      </c>
      <c r="D67" s="16" t="s">
        <v>194</v>
      </c>
      <c r="E67" s="17">
        <v>7270</v>
      </c>
      <c r="F67" s="18">
        <f t="shared" si="0"/>
        <v>7370</v>
      </c>
      <c r="G67" s="17">
        <v>8100</v>
      </c>
      <c r="H67" s="19">
        <f t="shared" si="1"/>
        <v>8748</v>
      </c>
      <c r="I67" s="20">
        <f t="shared" si="2"/>
        <v>16118</v>
      </c>
    </row>
    <row r="68" s="2" customFormat="1" ht="18" customHeight="1" spans="1:9">
      <c r="A68" s="14">
        <v>66</v>
      </c>
      <c r="B68" s="15" t="s">
        <v>195</v>
      </c>
      <c r="C68" s="16" t="s">
        <v>196</v>
      </c>
      <c r="D68" s="16" t="s">
        <v>197</v>
      </c>
      <c r="E68" s="17">
        <v>7905</v>
      </c>
      <c r="F68" s="18">
        <f t="shared" ref="F68:F82" si="3">E68+100</f>
        <v>8005</v>
      </c>
      <c r="G68" s="17">
        <v>6700</v>
      </c>
      <c r="H68" s="19">
        <f t="shared" si="1"/>
        <v>7236</v>
      </c>
      <c r="I68" s="20">
        <f t="shared" ref="I68:I82" si="4">H68+F68</f>
        <v>15241</v>
      </c>
    </row>
    <row r="69" s="2" customFormat="1" ht="18" customHeight="1" spans="1:9">
      <c r="A69" s="14">
        <v>67</v>
      </c>
      <c r="B69" s="15" t="s">
        <v>198</v>
      </c>
      <c r="C69" s="16" t="s">
        <v>199</v>
      </c>
      <c r="D69" s="16" t="s">
        <v>200</v>
      </c>
      <c r="E69" s="17">
        <v>5580</v>
      </c>
      <c r="F69" s="18">
        <f t="shared" si="3"/>
        <v>5680</v>
      </c>
      <c r="G69" s="17">
        <v>8300</v>
      </c>
      <c r="H69" s="19">
        <f t="shared" ref="H69:H82" si="5">G69*1.08</f>
        <v>8964</v>
      </c>
      <c r="I69" s="20">
        <f t="shared" si="4"/>
        <v>14644</v>
      </c>
    </row>
    <row r="70" s="2" customFormat="1" ht="18" customHeight="1" spans="1:9">
      <c r="A70" s="14">
        <v>68</v>
      </c>
      <c r="B70" s="15" t="s">
        <v>201</v>
      </c>
      <c r="C70" s="21" t="s">
        <v>202</v>
      </c>
      <c r="D70" s="21" t="s">
        <v>203</v>
      </c>
      <c r="E70" s="17">
        <v>8815</v>
      </c>
      <c r="F70" s="18">
        <f t="shared" si="3"/>
        <v>8915</v>
      </c>
      <c r="G70" s="17">
        <v>6790</v>
      </c>
      <c r="H70" s="19">
        <f t="shared" si="5"/>
        <v>7333.2</v>
      </c>
      <c r="I70" s="20">
        <f t="shared" si="4"/>
        <v>16248.2</v>
      </c>
    </row>
    <row r="71" s="2" customFormat="1" ht="18" customHeight="1" spans="1:9">
      <c r="A71" s="14">
        <v>69</v>
      </c>
      <c r="B71" s="15" t="s">
        <v>204</v>
      </c>
      <c r="C71" s="16" t="s">
        <v>205</v>
      </c>
      <c r="D71" s="16" t="s">
        <v>206</v>
      </c>
      <c r="E71" s="17">
        <v>7905</v>
      </c>
      <c r="F71" s="18">
        <f t="shared" si="3"/>
        <v>8005</v>
      </c>
      <c r="G71" s="17">
        <v>7700</v>
      </c>
      <c r="H71" s="19">
        <f t="shared" si="5"/>
        <v>8316</v>
      </c>
      <c r="I71" s="20">
        <f t="shared" si="4"/>
        <v>16321</v>
      </c>
    </row>
    <row r="72" s="2" customFormat="1" ht="18" customHeight="1" spans="1:9">
      <c r="A72" s="14">
        <v>70</v>
      </c>
      <c r="B72" s="15" t="s">
        <v>207</v>
      </c>
      <c r="C72" s="16" t="s">
        <v>208</v>
      </c>
      <c r="D72" s="38" t="s">
        <v>209</v>
      </c>
      <c r="E72" s="17">
        <v>7905</v>
      </c>
      <c r="F72" s="18">
        <f t="shared" si="3"/>
        <v>8005</v>
      </c>
      <c r="G72" s="17">
        <v>7700</v>
      </c>
      <c r="H72" s="19">
        <f t="shared" si="5"/>
        <v>8316</v>
      </c>
      <c r="I72" s="20">
        <f t="shared" si="4"/>
        <v>16321</v>
      </c>
    </row>
    <row r="73" s="2" customFormat="1" ht="18" customHeight="1" spans="1:9">
      <c r="A73" s="14">
        <v>71</v>
      </c>
      <c r="B73" s="15" t="s">
        <v>210</v>
      </c>
      <c r="C73" s="16" t="s">
        <v>211</v>
      </c>
      <c r="D73" s="38" t="s">
        <v>212</v>
      </c>
      <c r="E73" s="17">
        <v>7905</v>
      </c>
      <c r="F73" s="18">
        <f t="shared" si="3"/>
        <v>8005</v>
      </c>
      <c r="G73" s="17">
        <v>6815</v>
      </c>
      <c r="H73" s="19">
        <f t="shared" si="5"/>
        <v>7360.2</v>
      </c>
      <c r="I73" s="20">
        <f t="shared" si="4"/>
        <v>15365.2</v>
      </c>
    </row>
    <row r="74" s="2" customFormat="1" ht="18" customHeight="1" spans="1:9">
      <c r="A74" s="14">
        <v>72</v>
      </c>
      <c r="B74" s="15" t="s">
        <v>210</v>
      </c>
      <c r="C74" s="16" t="s">
        <v>213</v>
      </c>
      <c r="D74" s="38" t="s">
        <v>214</v>
      </c>
      <c r="E74" s="17">
        <v>7905</v>
      </c>
      <c r="F74" s="18">
        <f t="shared" si="3"/>
        <v>8005</v>
      </c>
      <c r="G74" s="17">
        <v>7700</v>
      </c>
      <c r="H74" s="19">
        <f t="shared" si="5"/>
        <v>8316</v>
      </c>
      <c r="I74" s="20">
        <f t="shared" si="4"/>
        <v>16321</v>
      </c>
    </row>
    <row r="75" s="2" customFormat="1" ht="18" customHeight="1" spans="1:9">
      <c r="A75" s="14">
        <v>73</v>
      </c>
      <c r="B75" s="15" t="s">
        <v>215</v>
      </c>
      <c r="C75" s="16" t="s">
        <v>216</v>
      </c>
      <c r="D75" s="38" t="s">
        <v>217</v>
      </c>
      <c r="E75" s="17">
        <v>7905</v>
      </c>
      <c r="F75" s="18">
        <f t="shared" si="3"/>
        <v>8005</v>
      </c>
      <c r="G75" s="17">
        <v>7700</v>
      </c>
      <c r="H75" s="19">
        <f t="shared" si="5"/>
        <v>8316</v>
      </c>
      <c r="I75" s="20">
        <f t="shared" si="4"/>
        <v>16321</v>
      </c>
    </row>
    <row r="76" s="2" customFormat="1" ht="18" customHeight="1" spans="1:9">
      <c r="A76" s="14">
        <v>74</v>
      </c>
      <c r="B76" s="15" t="s">
        <v>218</v>
      </c>
      <c r="C76" s="16" t="s">
        <v>219</v>
      </c>
      <c r="D76" s="38" t="s">
        <v>217</v>
      </c>
      <c r="E76" s="17">
        <v>6420</v>
      </c>
      <c r="F76" s="18">
        <f t="shared" si="3"/>
        <v>6520</v>
      </c>
      <c r="G76" s="17">
        <v>8300</v>
      </c>
      <c r="H76" s="19">
        <f t="shared" si="5"/>
        <v>8964</v>
      </c>
      <c r="I76" s="20">
        <f t="shared" si="4"/>
        <v>15484</v>
      </c>
    </row>
    <row r="77" s="2" customFormat="1" ht="18" customHeight="1" spans="1:9">
      <c r="A77" s="14">
        <v>75</v>
      </c>
      <c r="B77" s="15" t="s">
        <v>215</v>
      </c>
      <c r="C77" s="21" t="s">
        <v>220</v>
      </c>
      <c r="D77" s="39" t="s">
        <v>221</v>
      </c>
      <c r="E77" s="17">
        <v>7905</v>
      </c>
      <c r="F77" s="18">
        <f t="shared" si="3"/>
        <v>8005</v>
      </c>
      <c r="G77" s="17">
        <v>7700</v>
      </c>
      <c r="H77" s="19">
        <f t="shared" si="5"/>
        <v>8316</v>
      </c>
      <c r="I77" s="20">
        <f t="shared" si="4"/>
        <v>16321</v>
      </c>
    </row>
    <row r="78" s="2" customFormat="1" ht="18" customHeight="1" spans="1:9">
      <c r="A78" s="14">
        <v>76</v>
      </c>
      <c r="B78" s="35" t="s">
        <v>222</v>
      </c>
      <c r="C78" s="36" t="s">
        <v>223</v>
      </c>
      <c r="D78" s="51" t="s">
        <v>224</v>
      </c>
      <c r="E78" s="17">
        <v>7905</v>
      </c>
      <c r="F78" s="18">
        <f t="shared" si="3"/>
        <v>8005</v>
      </c>
      <c r="G78" s="17">
        <v>6532</v>
      </c>
      <c r="H78" s="19">
        <f t="shared" si="5"/>
        <v>7054.56</v>
      </c>
      <c r="I78" s="20">
        <f t="shared" si="4"/>
        <v>15059.56</v>
      </c>
    </row>
    <row r="79" ht="16.5" spans="1:9">
      <c r="A79" s="14">
        <v>77</v>
      </c>
      <c r="B79" s="35" t="s">
        <v>225</v>
      </c>
      <c r="C79" s="36" t="s">
        <v>226</v>
      </c>
      <c r="D79" s="40" t="s">
        <v>227</v>
      </c>
      <c r="E79" s="17">
        <v>5580</v>
      </c>
      <c r="F79" s="18">
        <f t="shared" si="3"/>
        <v>5680</v>
      </c>
      <c r="G79" s="17">
        <v>8300</v>
      </c>
      <c r="H79" s="19">
        <f t="shared" si="5"/>
        <v>8964</v>
      </c>
      <c r="I79" s="20">
        <f t="shared" si="4"/>
        <v>14644</v>
      </c>
    </row>
    <row r="80" ht="18.75" spans="1:9">
      <c r="A80" s="14">
        <v>78</v>
      </c>
      <c r="B80" s="35" t="s">
        <v>141</v>
      </c>
      <c r="C80" s="36" t="s">
        <v>142</v>
      </c>
      <c r="D80" s="52" t="s">
        <v>228</v>
      </c>
      <c r="E80" s="17">
        <v>7905</v>
      </c>
      <c r="F80" s="18">
        <f t="shared" si="3"/>
        <v>8005</v>
      </c>
      <c r="G80" s="17">
        <v>7700</v>
      </c>
      <c r="H80" s="19">
        <f t="shared" si="5"/>
        <v>8316</v>
      </c>
      <c r="I80" s="20">
        <f t="shared" si="4"/>
        <v>16321</v>
      </c>
    </row>
    <row r="81" ht="16.5" spans="1:10">
      <c r="A81" s="14">
        <v>79</v>
      </c>
      <c r="B81" s="42" t="s">
        <v>229</v>
      </c>
      <c r="C81" s="43" t="s">
        <v>230</v>
      </c>
      <c r="D81" s="44" t="s">
        <v>231</v>
      </c>
      <c r="E81" s="45">
        <v>7905</v>
      </c>
      <c r="F81" s="18">
        <f t="shared" si="3"/>
        <v>8005</v>
      </c>
      <c r="G81" s="45">
        <v>7700</v>
      </c>
      <c r="H81" s="19">
        <f t="shared" si="5"/>
        <v>8316</v>
      </c>
      <c r="I81" s="46">
        <f t="shared" si="4"/>
        <v>16321</v>
      </c>
    </row>
    <row r="82" ht="18.75" spans="1:10">
      <c r="A82" s="14">
        <v>80</v>
      </c>
      <c r="B82" s="35" t="s">
        <v>232</v>
      </c>
      <c r="C82" s="47" t="s">
        <v>233</v>
      </c>
      <c r="D82" s="47" t="s">
        <v>234</v>
      </c>
      <c r="E82" s="48">
        <v>10260</v>
      </c>
      <c r="F82" s="18">
        <f t="shared" si="3"/>
        <v>10360</v>
      </c>
      <c r="G82" s="49">
        <v>4875</v>
      </c>
      <c r="H82" s="19">
        <f t="shared" si="5"/>
        <v>5265</v>
      </c>
      <c r="I82" s="46">
        <f t="shared" si="4"/>
        <v>15625</v>
      </c>
    </row>
    <row r="85" s="4" customFormat="1" spans="1:10">
      <c r="A85" s="5"/>
      <c r="B85" s="5"/>
      <c r="C85" s="5"/>
      <c r="D85" s="5"/>
      <c r="E85" s="6"/>
      <c r="F85" s="7"/>
      <c r="G85" s="8"/>
      <c r="H85" s="9"/>
      <c r="I85" s="7"/>
      <c r="J85" s="5"/>
    </row>
    <row r="86" s="4" customFormat="1" spans="1:10">
      <c r="A86" s="5"/>
      <c r="B86" s="5"/>
      <c r="C86" s="5"/>
      <c r="D86" s="5"/>
      <c r="E86" s="6"/>
      <c r="F86" s="7"/>
      <c r="G86" s="8"/>
      <c r="H86" s="9"/>
      <c r="I86" s="7"/>
      <c r="J86" s="5"/>
    </row>
    <row r="87" s="4" customFormat="1" spans="1:10">
      <c r="A87" s="5"/>
      <c r="B87" s="5"/>
      <c r="C87" s="5"/>
      <c r="D87" s="5"/>
      <c r="E87" s="6"/>
      <c r="F87" s="7"/>
      <c r="G87" s="8"/>
      <c r="H87" s="9"/>
      <c r="I87" s="7"/>
      <c r="J87" s="5"/>
    </row>
    <row r="88" s="4" customFormat="1" spans="1:10">
      <c r="A88" s="5"/>
      <c r="B88" s="5"/>
      <c r="C88" s="5"/>
      <c r="D88" s="5"/>
      <c r="E88" s="6"/>
      <c r="F88" s="7"/>
      <c r="G88" s="8"/>
      <c r="H88" s="9"/>
      <c r="I88" s="7"/>
      <c r="J88" s="5"/>
    </row>
  </sheetData>
  <autoFilter xmlns:etc="http://www.wps.cn/officeDocument/2017/etCustomData" ref="A2:J82" etc:filterBottomFollowUsedRange="0">
    <extLst/>
  </autoFilter>
  <mergeCells count="1">
    <mergeCell ref="A1:I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XE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nguyen</cp:lastModifiedBy>
  <dcterms:created xsi:type="dcterms:W3CDTF">2006-09-16T00:00:00Z</dcterms:created>
  <dcterms:modified xsi:type="dcterms:W3CDTF">2026-10-02T07:27:26Z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843E9AA1978147F3A44A1C4FA9E8C85D_13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